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raphics" sheetId="1" state="visible" r:id="rId3"/>
    <sheet name="Pin Mapping SDIO" sheetId="2" state="visible" r:id="rId4"/>
    <sheet name="Power" sheetId="3" state="visible" r:id="rId5"/>
    <sheet name="Components" sheetId="4" state="visible" r:id="rId6"/>
    <sheet name="Shopping List" sheetId="5" state="visible" r:id="rId7"/>
  </sheets>
  <definedNames>
    <definedName function="false" hidden="false" localSheetId="1" name="_xlnm.Print_Area" vbProcedure="false">'Pin Mapping SDIO'!$A$1:$I$33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<sst xmlns="http://schemas.openxmlformats.org/spreadsheetml/2006/main" count="381" uniqueCount="191">
  <si>
    <t xml:space="preserve">Cart Pin #</t>
  </si>
  <si>
    <t xml:space="preserve">RP2350 Pin #</t>
  </si>
  <si>
    <t xml:space="preserve">GPIO #</t>
  </si>
  <si>
    <t xml:space="preserve">Pin Func.</t>
  </si>
  <si>
    <t xml:space="preserve">Use case</t>
  </si>
  <si>
    <t xml:space="preserve">Alt. Func.</t>
  </si>
  <si>
    <t xml:space="preserve">Notes</t>
  </si>
  <si>
    <t xml:space="preserve">N/A</t>
  </si>
  <si>
    <t xml:space="preserve">GND</t>
  </si>
  <si>
    <t xml:space="preserve">Power</t>
  </si>
  <si>
    <t xml:space="preserve">LOCKED</t>
  </si>
  <si>
    <t xml:space="preserve">Not going anywhere.</t>
  </si>
  <si>
    <t xml:space="preserve">QSPI_D3</t>
  </si>
  <si>
    <t xml:space="preserve">Flash</t>
  </si>
  <si>
    <t xml:space="preserve">QSPI_SCK</t>
  </si>
  <si>
    <t xml:space="preserve">QSPI_D0</t>
  </si>
  <si>
    <t xml:space="preserve">QSPI_D2</t>
  </si>
  <si>
    <t xml:space="preserve">QSPI_D1</t>
  </si>
  <si>
    <t xml:space="preserve">QSPI_CS</t>
  </si>
  <si>
    <t xml:space="preserve">SD_CS</t>
  </si>
  <si>
    <t xml:space="preserve">SD card</t>
  </si>
  <si>
    <t xml:space="preserve">ADC 7</t>
  </si>
  <si>
    <t xml:space="preserve">GPIO 47</t>
  </si>
  <si>
    <t xml:space="preserve">QSPI PSRAM CS</t>
  </si>
  <si>
    <t xml:space="preserve">UART1 TX</t>
  </si>
  <si>
    <t xml:space="preserve">I2C0 SDA</t>
  </si>
  <si>
    <t xml:space="preserve">PWM 8 A</t>
  </si>
  <si>
    <t xml:space="preserve">Use as ADC/GPIO or as CS pin for external 8MB QSPI RAM</t>
  </si>
  <si>
    <t xml:space="preserve">ADC 1</t>
  </si>
  <si>
    <t xml:space="preserve">GPIO 41</t>
  </si>
  <si>
    <t xml:space="preserve">SD card detect</t>
  </si>
  <si>
    <t xml:space="preserve">Use as ADC/GPIO or as cartridge detect pin</t>
  </si>
  <si>
    <t xml:space="preserve">ADC 0</t>
  </si>
  <si>
    <t xml:space="preserve">GPIO 40</t>
  </si>
  <si>
    <t xml:space="preserve">SPI1 MISO</t>
  </si>
  <si>
    <t xml:space="preserve">ADC/GPIO pin</t>
  </si>
  <si>
    <t xml:space="preserve">SPI1_SCK</t>
  </si>
  <si>
    <t xml:space="preserve">SPI1_MOSI</t>
  </si>
  <si>
    <t xml:space="preserve">SPI1_MISO</t>
  </si>
  <si>
    <t xml:space="preserve">HSTX0</t>
  </si>
  <si>
    <t xml:space="preserve">GPIO 12</t>
  </si>
  <si>
    <t xml:space="preserve">SPI1 RX</t>
  </si>
  <si>
    <t xml:space="preserve">UART0 TX</t>
  </si>
  <si>
    <t xml:space="preserve">PWM 6 A</t>
  </si>
  <si>
    <t xml:space="preserve">GPIO</t>
  </si>
  <si>
    <t xml:space="preserve">HSTX1</t>
  </si>
  <si>
    <t xml:space="preserve">GPIO 13</t>
  </si>
  <si>
    <t xml:space="preserve">SPI1 CS</t>
  </si>
  <si>
    <t xml:space="preserve">UART0 RX</t>
  </si>
  <si>
    <t xml:space="preserve">I2C0 SCL</t>
  </si>
  <si>
    <t xml:space="preserve">PWM 6 B</t>
  </si>
  <si>
    <t xml:space="preserve">HSTX2</t>
  </si>
  <si>
    <t xml:space="preserve">GPIO 14</t>
  </si>
  <si>
    <t xml:space="preserve">SPI1 SCK</t>
  </si>
  <si>
    <t xml:space="preserve">UART0 CTS</t>
  </si>
  <si>
    <t xml:space="preserve">I2C1 SDA</t>
  </si>
  <si>
    <t xml:space="preserve">PWM 7 A</t>
  </si>
  <si>
    <t xml:space="preserve">HSTX3</t>
  </si>
  <si>
    <t xml:space="preserve">GPIO 15</t>
  </si>
  <si>
    <t xml:space="preserve">SPI1 TX</t>
  </si>
  <si>
    <t xml:space="preserve">UART0 RTS</t>
  </si>
  <si>
    <t xml:space="preserve">I2C1 SCL</t>
  </si>
  <si>
    <t xml:space="preserve">PWM 7 B</t>
  </si>
  <si>
    <t xml:space="preserve">HSTX4</t>
  </si>
  <si>
    <t xml:space="preserve">GPIO 16</t>
  </si>
  <si>
    <t xml:space="preserve">SPI0 RX</t>
  </si>
  <si>
    <t xml:space="preserve">PWM 0 A</t>
  </si>
  <si>
    <t xml:space="preserve">HSTX5</t>
  </si>
  <si>
    <t xml:space="preserve">GPIO 17</t>
  </si>
  <si>
    <t xml:space="preserve">SPI0 CS</t>
  </si>
  <si>
    <t xml:space="preserve">PWM 0 B</t>
  </si>
  <si>
    <t xml:space="preserve">HSTX6</t>
  </si>
  <si>
    <t xml:space="preserve">GPIO 18</t>
  </si>
  <si>
    <t xml:space="preserve">SPI0 SCK</t>
  </si>
  <si>
    <t xml:space="preserve">PWM 1 A</t>
  </si>
  <si>
    <t xml:space="preserve">HSTX7</t>
  </si>
  <si>
    <t xml:space="preserve">GPIO 19</t>
  </si>
  <si>
    <t xml:space="preserve">SPI0 TX</t>
  </si>
  <si>
    <t xml:space="preserve">PWM 1 B</t>
  </si>
  <si>
    <t xml:space="preserve">I2C0_SDA</t>
  </si>
  <si>
    <t xml:space="preserve">GPIO 20</t>
  </si>
  <si>
    <t xml:space="preserve">PWM 2 A</t>
  </si>
  <si>
    <t xml:space="preserve">I2C bus connected to RP2350, DAC, and FRAM</t>
  </si>
  <si>
    <t xml:space="preserve">I2C0_SCL</t>
  </si>
  <si>
    <t xml:space="preserve">GPIO 21</t>
  </si>
  <si>
    <t xml:space="preserve">UART1 RX</t>
  </si>
  <si>
    <t xml:space="preserve">PWM 2 B</t>
  </si>
  <si>
    <t xml:space="preserve">???</t>
  </si>
  <si>
    <t xml:space="preserve">RST</t>
  </si>
  <si>
    <t xml:space="preserve">Reset</t>
  </si>
  <si>
    <t xml:space="preserve">Tentative</t>
  </si>
  <si>
    <t xml:space="preserve">RST pin to enable external reset of RP2350 from cartridge. Debating on keeping.</t>
  </si>
  <si>
    <t xml:space="preserve">I2S_MCLK</t>
  </si>
  <si>
    <t xml:space="preserve">Audio</t>
  </si>
  <si>
    <t xml:space="preserve">I2S interface wired to Codec/DAC. NOT CONNECTED TO RP2350 IN ANY WAY WHATSOEVER</t>
  </si>
  <si>
    <t xml:space="preserve">I2S_WSEL</t>
  </si>
  <si>
    <t xml:space="preserve">I2S_BCLK</t>
  </si>
  <si>
    <t xml:space="preserve">I2S_DIN</t>
  </si>
  <si>
    <t xml:space="preserve">3V3</t>
  </si>
  <si>
    <t xml:space="preserve">5V</t>
  </si>
  <si>
    <t xml:space="preserve">Display off, headphones (A)</t>
  </si>
  <si>
    <r>
      <rPr>
        <sz val="10"/>
        <color rgb="FF000000"/>
        <rFont val="ChicagoFLF"/>
        <family val="0"/>
        <charset val="1"/>
      </rPr>
      <t xml:space="preserve">Display on, headphones</t>
    </r>
    <r>
      <rPr>
        <sz val="10"/>
        <color rgb="FF000000"/>
        <rFont val="ChicagoFLF"/>
        <family val="0"/>
      </rPr>
      <t xml:space="preserve"> (A)</t>
    </r>
  </si>
  <si>
    <r>
      <rPr>
        <sz val="10"/>
        <color rgb="FF000000"/>
        <rFont val="ChicagoFLF"/>
        <family val="0"/>
        <charset val="1"/>
      </rPr>
      <t xml:space="preserve">Display off, speaker</t>
    </r>
    <r>
      <rPr>
        <sz val="10"/>
        <color rgb="FF000000"/>
        <rFont val="ChicagoFLF"/>
        <family val="0"/>
      </rPr>
      <t xml:space="preserve"> (A)</t>
    </r>
  </si>
  <si>
    <r>
      <rPr>
        <sz val="10"/>
        <color rgb="FF000000"/>
        <rFont val="ChicagoFLF"/>
        <family val="0"/>
        <charset val="1"/>
      </rPr>
      <t xml:space="preserve">Display on,  speaker</t>
    </r>
    <r>
      <rPr>
        <sz val="10"/>
        <color rgb="FF000000"/>
        <rFont val="ChicagoFLF"/>
        <family val="0"/>
      </rPr>
      <t xml:space="preserve"> (A)</t>
    </r>
  </si>
  <si>
    <t xml:space="preserve">PSU efficiency (%)</t>
  </si>
  <si>
    <r>
      <rPr>
        <sz val="10"/>
        <color rgb="FF000000"/>
        <rFont val="ChicagoFLF"/>
        <family val="0"/>
        <charset val="1"/>
      </rPr>
      <t xml:space="preserve">AAA capacit</t>
    </r>
    <r>
      <rPr>
        <sz val="10"/>
        <color rgb="FF000000"/>
        <rFont val="ChicagoFLF"/>
        <family val="0"/>
      </rPr>
      <t xml:space="preserve">y (mA)</t>
    </r>
  </si>
  <si>
    <r>
      <rPr>
        <sz val="10"/>
        <color rgb="FF000000"/>
        <rFont val="ChicagoFLF"/>
        <family val="0"/>
        <charset val="1"/>
      </rPr>
      <t xml:space="preserve">AAA voltage (</t>
    </r>
    <r>
      <rPr>
        <sz val="10"/>
        <color rgb="FF000000"/>
        <rFont val="ChicagoFLF"/>
        <family val="0"/>
      </rPr>
      <t xml:space="preserve">V)</t>
    </r>
  </si>
  <si>
    <t xml:space="preserve">Component</t>
  </si>
  <si>
    <t xml:space="preserve">What is it</t>
  </si>
  <si>
    <t xml:space="preserve">Interface Prim.</t>
  </si>
  <si>
    <t xml:space="preserve">What does it do</t>
  </si>
  <si>
    <t xml:space="preserve">Speed</t>
  </si>
  <si>
    <t xml:space="preserve">Voltage</t>
  </si>
  <si>
    <t xml:space="preserve">Current</t>
  </si>
  <si>
    <t xml:space="preserve">Priority</t>
  </si>
  <si>
    <t xml:space="preserve">Domain</t>
  </si>
  <si>
    <t xml:space="preserve">Working?</t>
  </si>
  <si>
    <t xml:space="preserve">RP2350B</t>
  </si>
  <si>
    <t xml:space="preserve">Display</t>
  </si>
  <si>
    <t xml:space="preserve">150 MHz</t>
  </si>
  <si>
    <t xml:space="preserve">3.3V</t>
  </si>
  <si>
    <t xml:space="preserve">Very High</t>
  </si>
  <si>
    <t xml:space="preserve">Core</t>
  </si>
  <si>
    <t xml:space="preserve">Yes!</t>
  </si>
  <si>
    <t xml:space="preserve">VS1053B</t>
  </si>
  <si>
    <t xml:space="preserve">Audio Codec</t>
  </si>
  <si>
    <t xml:space="preserve">SPI 1</t>
  </si>
  <si>
    <t xml:space="preserve">35MHz</t>
  </si>
  <si>
    <t xml:space="preserve">3.3V / 1.8V</t>
  </si>
  <si>
    <t xml:space="preserve">1.54” IPS LCD</t>
  </si>
  <si>
    <t xml:space="preserve">SPI 0 / PIO</t>
  </si>
  <si>
    <t xml:space="preserve">UI</t>
  </si>
  <si>
    <t xml:space="preserve">Micro-SD card</t>
  </si>
  <si>
    <t xml:space="preserve">Music Storage</t>
  </si>
  <si>
    <t xml:space="preserve">SPI 0</t>
  </si>
  <si>
    <t xml:space="preserve">W25Q128</t>
  </si>
  <si>
    <t xml:space="preserve">Code Storage</t>
  </si>
  <si>
    <t xml:space="preserve">QSPI</t>
  </si>
  <si>
    <t xml:space="preserve">TLV320AIC3100</t>
  </si>
  <si>
    <t xml:space="preserve">DAC + AMP</t>
  </si>
  <si>
    <t xml:space="preserve">I2C 0</t>
  </si>
  <si>
    <t xml:space="preserve">Audio output</t>
  </si>
  <si>
    <t xml:space="preserve">400 Khz</t>
  </si>
  <si>
    <t xml:space="preserve">FM24C64B</t>
  </si>
  <si>
    <t xml:space="preserve">FRAM</t>
  </si>
  <si>
    <t xml:space="preserve">Nonvolatile storage</t>
  </si>
  <si>
    <t xml:space="preserve">Low</t>
  </si>
  <si>
    <t xml:space="preserve">Untested :(</t>
  </si>
  <si>
    <t xml:space="preserve">PCA9685</t>
  </si>
  <si>
    <t xml:space="preserve">LED Driver</t>
  </si>
  <si>
    <t xml:space="preserve">I2C 1</t>
  </si>
  <si>
    <t xml:space="preserve">5V, MAYBE 3.3?</t>
  </si>
  <si>
    <t xml:space="preserve">High</t>
  </si>
  <si>
    <t xml:space="preserve">74HC165</t>
  </si>
  <si>
    <t xml:space="preserve">Button Sh. Reg.</t>
  </si>
  <si>
    <t xml:space="preserve">Reads buttons</t>
  </si>
  <si>
    <t xml:space="preserve">1 Khz</t>
  </si>
  <si>
    <t xml:space="preserve">PKMCS0909E</t>
  </si>
  <si>
    <t xml:space="preserve">Buzzer</t>
  </si>
  <si>
    <t xml:space="preserve">Simple beeps</t>
  </si>
  <si>
    <t xml:space="preserve">TPS61090</t>
  </si>
  <si>
    <t xml:space="preserve">Boost Converter</t>
  </si>
  <si>
    <t xml:space="preserve">3V in 5V out</t>
  </si>
  <si>
    <t xml:space="preserve">750 mAh</t>
  </si>
  <si>
    <t xml:space="preserve">TPS2116</t>
  </si>
  <si>
    <t xml:space="preserve">OR Controller</t>
  </si>
  <si>
    <t xml:space="preserve">5V in 5V out</t>
  </si>
  <si>
    <t xml:space="preserve">2.5A</t>
  </si>
  <si>
    <t xml:space="preserve">TLV62569-3V3</t>
  </si>
  <si>
    <t xml:space="preserve">3.3V Regulator</t>
  </si>
  <si>
    <t xml:space="preserve">5V in 3.3V out</t>
  </si>
  <si>
    <t xml:space="preserve">2A</t>
  </si>
  <si>
    <t xml:space="preserve">TLV62569-1V8</t>
  </si>
  <si>
    <t xml:space="preserve">1.8V Regulator</t>
  </si>
  <si>
    <t xml:space="preserve">5V in 1.8V out</t>
  </si>
  <si>
    <t xml:space="preserve">RK10J11R0A0L</t>
  </si>
  <si>
    <t xml:space="preserve">Thumbwheel</t>
  </si>
  <si>
    <t xml:space="preserve">ADC 4</t>
  </si>
  <si>
    <t xml:space="preserve">Volume/Brightness</t>
  </si>
  <si>
    <t xml:space="preserve">Cost?</t>
  </si>
  <si>
    <t xml:space="preserve">Quant / Unit</t>
  </si>
  <si>
    <t xml:space="preserve">Price / Unit</t>
  </si>
  <si>
    <t xml:space="preserve">Price for 5</t>
  </si>
  <si>
    <t xml:space="preserve">BUDGET</t>
  </si>
  <si>
    <t xml:space="preserve">LEFTOVER</t>
  </si>
  <si>
    <t xml:space="preserve">Microcontroller</t>
  </si>
  <si>
    <t xml:space="preserve">PCB COST</t>
  </si>
  <si>
    <t xml:space="preserve">PARTS COST</t>
  </si>
  <si>
    <t xml:space="preserve">PARTS TOTAL</t>
  </si>
  <si>
    <t xml:space="preserve">GBP cartridge port</t>
  </si>
  <si>
    <t xml:space="preserve">Cartridge port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</si>
</sst>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88"/>
      <color rgb="FF000000"/>
      <name val="Liberator Heavy"/>
      <family val="0"/>
    </font>
    <font>
      <sz val="72"/>
      <color rgb="FF000000"/>
      <name val="Arial Black"/>
      <family val="0"/>
    </font>
    <font>
      <i val="true"/>
      <sz val="66"/>
      <color rgb="FF000000"/>
      <name val="Arial Black"/>
      <family val="0"/>
    </font>
    <font>
      <sz val="10"/>
      <name val="ChicagoFLF"/>
      <family val="0"/>
      <charset val="1"/>
    </font>
    <font>
      <b val="true"/>
      <sz val="10"/>
      <color rgb="FF000000"/>
      <name val="ChicagoFLF"/>
      <family val="0"/>
      <charset val="1"/>
    </font>
    <font>
      <sz val="10"/>
      <color rgb="FFFFFFFF"/>
      <name val="ChicagoFLF"/>
      <family val="0"/>
      <charset val="1"/>
    </font>
    <font>
      <sz val="10"/>
      <color rgb="FF000000"/>
      <name val="ChicagoFLF"/>
      <family val="0"/>
      <charset val="1"/>
    </font>
    <font>
      <sz val="10"/>
      <color rgb="FFFAFAFA"/>
      <name val="ChicagoFLF"/>
      <family val="0"/>
      <charset val="1"/>
    </font>
    <font>
      <sz val="12"/>
      <color rgb="FF000000"/>
      <name val="ChicagoFLF"/>
      <family val="0"/>
    </font>
    <font>
      <sz val="12"/>
      <color rgb="FF000000"/>
      <name val="Times New Roman"/>
      <family val="0"/>
    </font>
    <font>
      <sz val="10"/>
      <color rgb="FF000000"/>
      <name val="Arial"/>
      <family val="2"/>
      <charset val="1"/>
    </font>
    <font>
      <sz val="10"/>
      <color rgb="FF000000"/>
      <name val="ChicagoFLF"/>
      <family val="0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AFAFA"/>
      </patternFill>
    </fill>
    <fill>
      <patternFill patternType="solid">
        <fgColor rgb="FFFF972F"/>
        <bgColor rgb="FFFFB21E"/>
      </patternFill>
    </fill>
    <fill>
      <patternFill patternType="solid">
        <fgColor rgb="FF666666"/>
        <bgColor rgb="FF757575"/>
      </patternFill>
    </fill>
    <fill>
      <patternFill patternType="solid">
        <fgColor rgb="FF808080"/>
        <bgColor rgb="FF757575"/>
      </patternFill>
    </fill>
    <fill>
      <patternFill patternType="solid">
        <fgColor rgb="FF999999"/>
        <bgColor rgb="FF808080"/>
      </patternFill>
    </fill>
    <fill>
      <patternFill patternType="solid">
        <fgColor rgb="FFDC002A"/>
        <bgColor rgb="FFBF0041"/>
      </patternFill>
    </fill>
    <fill>
      <patternFill patternType="solid">
        <fgColor rgb="FF000000"/>
        <bgColor rgb="FF003300"/>
      </patternFill>
    </fill>
    <fill>
      <patternFill patternType="solid">
        <fgColor rgb="FF79BDFF"/>
        <bgColor rgb="FF9999FF"/>
      </patternFill>
    </fill>
    <fill>
      <patternFill patternType="solid">
        <fgColor rgb="FFAD61BB"/>
        <bgColor rgb="FFAB47BC"/>
      </patternFill>
    </fill>
    <fill>
      <patternFill patternType="solid">
        <fgColor rgb="FF008000"/>
        <bgColor rgb="FF008080"/>
      </patternFill>
    </fill>
    <fill>
      <patternFill patternType="solid">
        <fgColor rgb="FFCCF4C6"/>
        <bgColor rgb="FFCCFFFF"/>
      </patternFill>
    </fill>
    <fill>
      <patternFill patternType="solid">
        <fgColor rgb="FFD32F2F"/>
        <bgColor rgb="FFFF4000"/>
      </patternFill>
    </fill>
    <fill>
      <patternFill patternType="solid">
        <fgColor rgb="FF757575"/>
        <bgColor rgb="FF808080"/>
      </patternFill>
    </fill>
    <fill>
      <patternFill patternType="solid">
        <fgColor rgb="FFFFB21E"/>
        <bgColor rgb="FFFF972F"/>
      </patternFill>
    </fill>
    <fill>
      <patternFill patternType="solid">
        <fgColor rgb="FF90EE90"/>
        <bgColor rgb="FF89FD78"/>
      </patternFill>
    </fill>
    <fill>
      <patternFill patternType="solid">
        <fgColor rgb="FFBF0041"/>
        <bgColor rgb="FFDC002A"/>
      </patternFill>
    </fill>
    <fill>
      <patternFill patternType="solid">
        <fgColor rgb="FF77BC65"/>
        <bgColor rgb="FF999999"/>
      </patternFill>
    </fill>
    <fill>
      <patternFill patternType="solid">
        <fgColor rgb="FFFFAA95"/>
        <bgColor rgb="FFFFCC99"/>
      </patternFill>
    </fill>
    <fill>
      <patternFill patternType="solid">
        <fgColor rgb="FF7B1FA2"/>
        <bgColor rgb="FF5B277D"/>
      </patternFill>
    </fill>
    <fill>
      <patternFill patternType="solid">
        <fgColor rgb="FFAB47BC"/>
        <bgColor rgb="FFAD61BB"/>
      </patternFill>
    </fill>
    <fill>
      <patternFill patternType="solid">
        <fgColor rgb="FFCE93D8"/>
        <bgColor rgb="FF9999FF"/>
      </patternFill>
    </fill>
    <fill>
      <patternFill patternType="solid">
        <fgColor rgb="FFE1BEE7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C002A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57575"/>
      <rgbColor rgb="FF7B1FA2"/>
      <rgbColor rgb="FF008080"/>
      <rgbColor rgb="FF90EE90"/>
      <rgbColor rgb="FF808080"/>
      <rgbColor rgb="FF9999FF"/>
      <rgbColor rgb="FFAB47BC"/>
      <rgbColor rgb="FFFAFAFA"/>
      <rgbColor rgb="FF89FD78"/>
      <rgbColor rgb="FF660066"/>
      <rgbColor rgb="FFFF8080"/>
      <rgbColor rgb="FF0066CC"/>
      <rgbColor rgb="FFE1BEE7"/>
      <rgbColor rgb="FF000080"/>
      <rgbColor rgb="FFFF00FF"/>
      <rgbColor rgb="FFFFFF00"/>
      <rgbColor rgb="FF00FFFF"/>
      <rgbColor rgb="FFBF0041"/>
      <rgbColor rgb="FF800000"/>
      <rgbColor rgb="FF008080"/>
      <rgbColor rgb="FF0000FF"/>
      <rgbColor rgb="FF00CCFF"/>
      <rgbColor rgb="FFCCFFFF"/>
      <rgbColor rgb="FFCCF4C6"/>
      <rgbColor rgb="FFFFFF99"/>
      <rgbColor rgb="FF79BDFF"/>
      <rgbColor rgb="FFFFAA95"/>
      <rgbColor rgb="FFCE93D8"/>
      <rgbColor rgb="FFFFCC99"/>
      <rgbColor rgb="FF3366FF"/>
      <rgbColor rgb="FF34B3FB"/>
      <rgbColor rgb="FF77BC65"/>
      <rgbColor rgb="FFFFB21E"/>
      <rgbColor rgb="FFFF972F"/>
      <rgbColor rgb="FFFF4000"/>
      <rgbColor rgb="FF666666"/>
      <rgbColor rgb="FF999999"/>
      <rgbColor rgb="FF003366"/>
      <rgbColor rgb="FF339966"/>
      <rgbColor rgb="FF003300"/>
      <rgbColor rgb="FF333300"/>
      <rgbColor rgb="FFD32F2F"/>
      <rgbColor rgb="FFAD61BB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182880</xdr:colOff>
      <xdr:row>1</xdr:row>
      <xdr:rowOff>66600</xdr:rowOff>
    </xdr:from>
    <xdr:to>
      <xdr:col>7</xdr:col>
      <xdr:colOff>613080</xdr:colOff>
      <xdr:row>16</xdr:row>
      <xdr:rowOff>48960</xdr:rowOff>
    </xdr:to>
    <xdr:sp>
      <xdr:nvSpPr>
        <xdr:cNvPr id="1" name="Shape 5"/>
        <xdr:cNvSpPr/>
      </xdr:nvSpPr>
      <xdr:spPr>
        <a:xfrm>
          <a:off x="182880" y="229320"/>
          <a:ext cx="6119640" cy="2420640"/>
        </a:xfrm>
        <a:prstGeom prst="rect">
          <a:avLst/>
        </a:prstGeom>
        <a:solidFill>
          <a:srgbClr val="ffffff"/>
        </a:solidFill>
        <a:ln w="5472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wrap="none" lIns="27000" rIns="27000" tIns="27000" bIns="27000" anchor="ctr">
          <a:noAutofit/>
        </a:bodyPr>
        <a:p>
          <a:pPr algn="ctr">
            <a:lnSpc>
              <a:spcPct val="100000"/>
            </a:lnSpc>
          </a:pPr>
          <a:r>
            <a:rPr lang="en-US" sz="8800" b="0" i="1" u="none" strike="noStrike">
              <a:solidFill>
                <a:srgbClr val="000000"/>
              </a:solidFill>
              <a:effectLst/>
              <a:uFillTx/>
              <a:latin typeface="Liberator Heavy"/>
              <a:ea typeface="DejaVu Sans"/>
            </a:rPr>
            <a:t>StereoBoy</a:t>
          </a:r>
          <a:endParaRPr lang="en-US" sz="88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174960</xdr:colOff>
      <xdr:row>17</xdr:row>
      <xdr:rowOff>96840</xdr:rowOff>
    </xdr:from>
    <xdr:to>
      <xdr:col>7</xdr:col>
      <xdr:colOff>605160</xdr:colOff>
      <xdr:row>32</xdr:row>
      <xdr:rowOff>78840</xdr:rowOff>
    </xdr:to>
    <xdr:sp>
      <xdr:nvSpPr>
        <xdr:cNvPr id="2" name="Shape 6"/>
        <xdr:cNvSpPr/>
      </xdr:nvSpPr>
      <xdr:spPr>
        <a:xfrm>
          <a:off x="174960" y="2860200"/>
          <a:ext cx="6119640" cy="2420640"/>
        </a:xfrm>
        <a:prstGeom prst="rect">
          <a:avLst/>
        </a:prstGeom>
        <a:solidFill>
          <a:srgbClr val="ffffff"/>
        </a:solidFill>
        <a:ln w="5472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wrap="none" lIns="27000" rIns="27000" tIns="27000" bIns="27000" anchor="ctr">
          <a:noAutofit/>
        </a:bodyPr>
        <a:p>
          <a:pPr algn="ctr">
            <a:lnSpc>
              <a:spcPct val="100000"/>
            </a:lnSpc>
          </a:pPr>
          <a:r>
            <a:rPr lang="en-US" sz="7200" b="0" u="none" strike="noStrike">
              <a:solidFill>
                <a:srgbClr val="000000"/>
              </a:solidFill>
              <a:effectLst/>
              <a:uFillTx/>
              <a:latin typeface="Arial Black"/>
              <a:ea typeface="DejaVu Sans"/>
            </a:rPr>
            <a:t>StereoBoy</a:t>
          </a:r>
          <a:endParaRPr lang="en-US" sz="72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8</xdr:col>
      <xdr:colOff>45720</xdr:colOff>
      <xdr:row>1</xdr:row>
      <xdr:rowOff>59400</xdr:rowOff>
    </xdr:from>
    <xdr:to>
      <xdr:col>15</xdr:col>
      <xdr:colOff>475560</xdr:colOff>
      <xdr:row>16</xdr:row>
      <xdr:rowOff>41760</xdr:rowOff>
    </xdr:to>
    <xdr:sp>
      <xdr:nvSpPr>
        <xdr:cNvPr id="3" name="Shape 7"/>
        <xdr:cNvSpPr/>
      </xdr:nvSpPr>
      <xdr:spPr>
        <a:xfrm>
          <a:off x="6548040" y="222120"/>
          <a:ext cx="6119640" cy="2420640"/>
        </a:xfrm>
        <a:prstGeom prst="rect">
          <a:avLst/>
        </a:prstGeom>
        <a:solidFill>
          <a:srgbClr val="ffffff"/>
        </a:solidFill>
        <a:ln w="5472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wrap="none" lIns="27000" rIns="27000" tIns="27000" bIns="27000" anchor="ctr">
          <a:noAutofit/>
        </a:bodyPr>
        <a:p>
          <a:pPr algn="ctr">
            <a:lnSpc>
              <a:spcPct val="100000"/>
            </a:lnSpc>
          </a:pPr>
          <a:r>
            <a:rPr lang="en-US" sz="6600" b="0" i="1" u="none" strike="noStrike">
              <a:solidFill>
                <a:srgbClr val="000000"/>
              </a:solidFill>
              <a:effectLst/>
              <a:uFillTx/>
              <a:latin typeface="Arial Black"/>
              <a:ea typeface="DejaVu Sans"/>
            </a:rPr>
            <a:t>STEREOBOY</a:t>
          </a:r>
          <a:endParaRPr lang="en-US" sz="66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181440</xdr:colOff>
      <xdr:row>34</xdr:row>
      <xdr:rowOff>66600</xdr:rowOff>
    </xdr:from>
    <xdr:to>
      <xdr:col>5</xdr:col>
      <xdr:colOff>507960</xdr:colOff>
      <xdr:row>81</xdr:row>
      <xdr:rowOff>57240</xdr:rowOff>
    </xdr:to>
    <xdr:sp>
      <xdr:nvSpPr>
        <xdr:cNvPr id="4" name="Shape 4"/>
        <xdr:cNvSpPr/>
      </xdr:nvSpPr>
      <xdr:spPr>
        <a:xfrm>
          <a:off x="181440" y="5593680"/>
          <a:ext cx="5786280" cy="7630920"/>
        </a:xfrm>
        <a:prstGeom prst="rect">
          <a:avLst/>
        </a:prstGeom>
        <a:solidFill>
          <a:srgbClr val="fff1c1"/>
        </a:solidFill>
        <a:ln w="3672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*** SCRATCHPAD ***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&gt; SD card and Codec share same SPI bus (SPI1)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&gt; QSPI not working? Backup plan is to use RP2354 and maybe use QSPI pins for 2nd flash or PSRAM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&gt; Kill volume a bit when FF/REW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&gt; NEXT STEPS: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Oscope display?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GUI menu?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It seems file skip on initial play makes headphones squeak. Kill DAC on start play and enable before playing?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THINGS TO WORK ON: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Rewind: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Change wave color on FF/REW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inverting colors is just hex ^ 0xFFFF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Only right channel on FF, left on REW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FIGURE OUT MONO OUTPUT!!! For speaker!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Clean up jukebox code for Core 0 (producer)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read up on Core 0/1 communication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Come up with software arch for Core 1 (consumer)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minimal core-core comms, both should run as indie as possible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Bootup animation: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scrolling text print of peripheral init/check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slow render/fade logo.png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oscilloscope init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205200</xdr:colOff>
      <xdr:row>16</xdr:row>
      <xdr:rowOff>129240</xdr:rowOff>
    </xdr:from>
    <xdr:to>
      <xdr:col>3</xdr:col>
      <xdr:colOff>107640</xdr:colOff>
      <xdr:row>34</xdr:row>
      <xdr:rowOff>155880</xdr:rowOff>
    </xdr:to>
    <xdr:sp>
      <xdr:nvSpPr>
        <xdr:cNvPr id="5" name="Shape 3"/>
        <xdr:cNvSpPr/>
      </xdr:nvSpPr>
      <xdr:spPr>
        <a:xfrm>
          <a:off x="205200" y="2730240"/>
          <a:ext cx="3903120" cy="2952720"/>
        </a:xfrm>
        <a:prstGeom prst="rect">
          <a:avLst/>
        </a:prstGeom>
        <a:solidFill>
          <a:srgbClr val="fff1c1"/>
        </a:solidFill>
        <a:ln w="3672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SPKVDD = 5V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Duty split between Codec &amp; DAC: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Codec: play control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scrubbing, next/prev, play/pause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tempo/speed/pitch control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Equalizer as well (much harder on DAC)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DAC: audio control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→ volume, output source, left/right balance</a:t>
          </a: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Codec volume always stays at MAX!!!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ChicagoFLF"/>
              <a:ea typeface="DejaVu Sans"/>
            </a:rPr>
            <a:t>	</a:t>
          </a:r>
          <a:endParaRPr lang="en-US" sz="12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K23" activeCellId="0" sqref="K23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4B3FB"/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" colorId="64" zoomScale="140" zoomScaleNormal="140" zoomScalePageLayoutView="100" workbookViewId="0">
      <selection pane="topLeft" activeCell="J5" activeCellId="0" sqref="J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1" style="1" width="13.69"/>
    <col collapsed="false" customWidth="true" hidden="false" outlineLevel="0" max="4" min="4" style="1" width="16.48"/>
    <col collapsed="false" customWidth="true" hidden="false" outlineLevel="0" max="5" min="5" style="1" width="19.9"/>
    <col collapsed="false" customWidth="true" hidden="false" outlineLevel="0" max="6" min="6" style="1" width="16.15"/>
    <col collapsed="false" customWidth="true" hidden="false" outlineLevel="0" max="9" min="7" style="1" width="13.69"/>
    <col collapsed="false" customWidth="true" hidden="false" outlineLevel="0" max="10" min="10" style="1" width="85.94"/>
    <col collapsed="false" customWidth="true" hidden="false" outlineLevel="0" max="13" min="11" style="1" width="13.69"/>
    <col collapsed="false" customWidth="false" hidden="false" outlineLevel="0" max="16384" min="14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/>
      <c r="H1" s="2"/>
      <c r="I1" s="2"/>
      <c r="J1" s="3" t="s">
        <v>6</v>
      </c>
    </row>
    <row r="2" customFormat="false" ht="12.8" hidden="false" customHeight="false" outlineLevel="0" collapsed="false">
      <c r="A2" s="4" t="n">
        <v>0</v>
      </c>
      <c r="B2" s="5" t="s">
        <v>7</v>
      </c>
      <c r="C2" s="6" t="s">
        <v>7</v>
      </c>
      <c r="D2" s="7" t="s">
        <v>8</v>
      </c>
      <c r="E2" s="8" t="s">
        <v>9</v>
      </c>
      <c r="F2" s="9" t="s">
        <v>10</v>
      </c>
      <c r="G2" s="10"/>
      <c r="H2" s="10"/>
      <c r="I2" s="10"/>
      <c r="J2" s="11" t="s">
        <v>11</v>
      </c>
    </row>
    <row r="3" customFormat="false" ht="12.8" hidden="false" customHeight="false" outlineLevel="0" collapsed="false">
      <c r="A3" s="4" t="n">
        <v>1</v>
      </c>
      <c r="B3" s="12" t="n">
        <v>70</v>
      </c>
      <c r="C3" s="6" t="s">
        <v>7</v>
      </c>
      <c r="D3" s="13" t="s">
        <v>12</v>
      </c>
      <c r="E3" s="13" t="s">
        <v>13</v>
      </c>
      <c r="F3" s="9" t="s">
        <v>10</v>
      </c>
      <c r="G3" s="10"/>
      <c r="H3" s="10"/>
      <c r="I3" s="10"/>
      <c r="J3" s="11" t="s">
        <v>11</v>
      </c>
    </row>
    <row r="4" customFormat="false" ht="12.8" hidden="false" customHeight="false" outlineLevel="0" collapsed="false">
      <c r="A4" s="4" t="n">
        <v>2</v>
      </c>
      <c r="B4" s="12" t="n">
        <v>71</v>
      </c>
      <c r="C4" s="6" t="s">
        <v>7</v>
      </c>
      <c r="D4" s="13" t="s">
        <v>14</v>
      </c>
      <c r="E4" s="13" t="s">
        <v>13</v>
      </c>
      <c r="F4" s="9" t="s">
        <v>10</v>
      </c>
      <c r="G4" s="10"/>
      <c r="H4" s="10"/>
      <c r="I4" s="10"/>
      <c r="J4" s="11" t="s">
        <v>11</v>
      </c>
    </row>
    <row r="5" customFormat="false" ht="12.8" hidden="false" customHeight="false" outlineLevel="0" collapsed="false">
      <c r="A5" s="4" t="n">
        <v>3</v>
      </c>
      <c r="B5" s="12" t="n">
        <v>72</v>
      </c>
      <c r="C5" s="6" t="s">
        <v>7</v>
      </c>
      <c r="D5" s="13" t="s">
        <v>15</v>
      </c>
      <c r="E5" s="13" t="s">
        <v>13</v>
      </c>
      <c r="F5" s="9" t="s">
        <v>10</v>
      </c>
      <c r="G5" s="10"/>
      <c r="H5" s="10"/>
      <c r="I5" s="10"/>
      <c r="J5" s="11" t="s">
        <v>11</v>
      </c>
    </row>
    <row r="6" customFormat="false" ht="12.8" hidden="false" customHeight="false" outlineLevel="0" collapsed="false">
      <c r="A6" s="4" t="n">
        <v>4</v>
      </c>
      <c r="B6" s="12" t="n">
        <v>73</v>
      </c>
      <c r="C6" s="6" t="s">
        <v>7</v>
      </c>
      <c r="D6" s="13" t="s">
        <v>16</v>
      </c>
      <c r="E6" s="13" t="s">
        <v>13</v>
      </c>
      <c r="F6" s="9" t="s">
        <v>10</v>
      </c>
      <c r="G6" s="10"/>
      <c r="H6" s="10"/>
      <c r="I6" s="10"/>
      <c r="J6" s="11" t="s">
        <v>11</v>
      </c>
    </row>
    <row r="7" customFormat="false" ht="12.8" hidden="false" customHeight="false" outlineLevel="0" collapsed="false">
      <c r="A7" s="4" t="n">
        <v>5</v>
      </c>
      <c r="B7" s="12" t="n">
        <v>74</v>
      </c>
      <c r="C7" s="6" t="s">
        <v>7</v>
      </c>
      <c r="D7" s="13" t="s">
        <v>17</v>
      </c>
      <c r="E7" s="13" t="s">
        <v>13</v>
      </c>
      <c r="F7" s="9" t="s">
        <v>10</v>
      </c>
      <c r="G7" s="10"/>
      <c r="H7" s="10"/>
      <c r="I7" s="10"/>
      <c r="J7" s="11" t="s">
        <v>11</v>
      </c>
    </row>
    <row r="8" customFormat="false" ht="12.8" hidden="false" customHeight="false" outlineLevel="0" collapsed="false">
      <c r="A8" s="4" t="n">
        <v>6</v>
      </c>
      <c r="B8" s="12" t="n">
        <v>75</v>
      </c>
      <c r="C8" s="6" t="s">
        <v>7</v>
      </c>
      <c r="D8" s="13" t="s">
        <v>18</v>
      </c>
      <c r="E8" s="13" t="s">
        <v>13</v>
      </c>
      <c r="F8" s="9" t="s">
        <v>10</v>
      </c>
      <c r="G8" s="10"/>
      <c r="H8" s="10"/>
      <c r="I8" s="10"/>
      <c r="J8" s="11" t="s">
        <v>11</v>
      </c>
    </row>
    <row r="9" customFormat="false" ht="12.8" hidden="false" customHeight="false" outlineLevel="0" collapsed="false">
      <c r="A9" s="4" t="n">
        <v>7</v>
      </c>
      <c r="B9" s="12" t="n">
        <v>3</v>
      </c>
      <c r="C9" s="14" t="n">
        <v>80</v>
      </c>
      <c r="D9" s="15" t="s">
        <v>19</v>
      </c>
      <c r="E9" s="15" t="s">
        <v>20</v>
      </c>
      <c r="F9" s="9" t="s">
        <v>10</v>
      </c>
      <c r="G9" s="10"/>
      <c r="H9" s="10"/>
      <c r="I9" s="10"/>
      <c r="J9" s="11" t="s">
        <v>11</v>
      </c>
    </row>
    <row r="10" customFormat="false" ht="12.8" hidden="false" customHeight="false" outlineLevel="0" collapsed="false">
      <c r="A10" s="4" t="n">
        <v>8</v>
      </c>
      <c r="B10" s="12" t="n">
        <v>2</v>
      </c>
      <c r="C10" s="14" t="n">
        <v>79</v>
      </c>
      <c r="D10" s="16" t="s">
        <v>21</v>
      </c>
      <c r="E10" s="16" t="s">
        <v>22</v>
      </c>
      <c r="F10" s="17" t="s">
        <v>23</v>
      </c>
      <c r="G10" s="16" t="s">
        <v>24</v>
      </c>
      <c r="H10" s="16" t="s">
        <v>25</v>
      </c>
      <c r="I10" s="16" t="s">
        <v>26</v>
      </c>
      <c r="J10" s="11" t="s">
        <v>27</v>
      </c>
      <c r="K10" s="18"/>
      <c r="L10" s="18"/>
      <c r="M10" s="18"/>
      <c r="N10" s="18"/>
      <c r="O10" s="18"/>
      <c r="P10" s="18"/>
    </row>
    <row r="11" customFormat="false" ht="12.8" hidden="false" customHeight="false" outlineLevel="0" collapsed="false">
      <c r="A11" s="4" t="n">
        <v>9</v>
      </c>
      <c r="B11" s="12" t="n">
        <v>41</v>
      </c>
      <c r="C11" s="14" t="n">
        <v>52</v>
      </c>
      <c r="D11" s="16" t="s">
        <v>28</v>
      </c>
      <c r="E11" s="16" t="s">
        <v>29</v>
      </c>
      <c r="F11" s="15" t="s">
        <v>30</v>
      </c>
      <c r="G11" s="16" t="s">
        <v>24</v>
      </c>
      <c r="H11" s="16" t="s">
        <v>25</v>
      </c>
      <c r="I11" s="16" t="s">
        <v>26</v>
      </c>
      <c r="J11" s="11" t="s">
        <v>31</v>
      </c>
      <c r="K11" s="18"/>
      <c r="L11" s="18"/>
      <c r="M11" s="18"/>
      <c r="N11" s="18"/>
      <c r="O11" s="18"/>
      <c r="P11" s="18"/>
    </row>
    <row r="12" customFormat="false" ht="12.8" hidden="false" customHeight="false" outlineLevel="0" collapsed="false">
      <c r="A12" s="4" t="n">
        <v>10</v>
      </c>
      <c r="B12" s="12" t="n">
        <v>40</v>
      </c>
      <c r="C12" s="14" t="n">
        <v>49</v>
      </c>
      <c r="D12" s="16" t="s">
        <v>32</v>
      </c>
      <c r="E12" s="16" t="s">
        <v>33</v>
      </c>
      <c r="F12" s="16" t="s">
        <v>34</v>
      </c>
      <c r="G12" s="16" t="s">
        <v>24</v>
      </c>
      <c r="H12" s="16" t="s">
        <v>25</v>
      </c>
      <c r="I12" s="16" t="s">
        <v>26</v>
      </c>
      <c r="J12" s="11" t="s">
        <v>35</v>
      </c>
      <c r="K12" s="18"/>
      <c r="L12" s="18"/>
      <c r="M12" s="18"/>
      <c r="N12" s="18"/>
      <c r="O12" s="18"/>
      <c r="P12" s="18"/>
    </row>
    <row r="13" customFormat="false" ht="12.8" hidden="false" customHeight="false" outlineLevel="0" collapsed="false">
      <c r="A13" s="4" t="n">
        <v>11</v>
      </c>
      <c r="B13" s="12" t="n">
        <v>30</v>
      </c>
      <c r="C13" s="14" t="n">
        <v>38</v>
      </c>
      <c r="D13" s="15" t="s">
        <v>36</v>
      </c>
      <c r="E13" s="15" t="s">
        <v>20</v>
      </c>
      <c r="F13" s="9" t="s">
        <v>10</v>
      </c>
      <c r="G13" s="10"/>
      <c r="H13" s="10"/>
      <c r="I13" s="10"/>
      <c r="J13" s="11" t="s">
        <v>11</v>
      </c>
      <c r="K13" s="18"/>
    </row>
    <row r="14" customFormat="false" ht="12.8" hidden="false" customHeight="false" outlineLevel="0" collapsed="false">
      <c r="A14" s="4" t="n">
        <v>12</v>
      </c>
      <c r="B14" s="12" t="n">
        <v>31</v>
      </c>
      <c r="C14" s="14" t="n">
        <v>39</v>
      </c>
      <c r="D14" s="15" t="s">
        <v>37</v>
      </c>
      <c r="E14" s="15" t="s">
        <v>20</v>
      </c>
      <c r="F14" s="9" t="s">
        <v>10</v>
      </c>
      <c r="G14" s="10"/>
      <c r="H14" s="10"/>
      <c r="I14" s="10"/>
      <c r="J14" s="11" t="s">
        <v>11</v>
      </c>
      <c r="K14" s="18"/>
    </row>
    <row r="15" customFormat="false" ht="12.8" hidden="false" customHeight="false" outlineLevel="0" collapsed="false">
      <c r="A15" s="4" t="n">
        <v>13</v>
      </c>
      <c r="B15" s="12" t="n">
        <v>28</v>
      </c>
      <c r="C15" s="14" t="n">
        <v>36</v>
      </c>
      <c r="D15" s="15" t="s">
        <v>38</v>
      </c>
      <c r="E15" s="15" t="s">
        <v>20</v>
      </c>
      <c r="F15" s="9" t="s">
        <v>10</v>
      </c>
      <c r="G15" s="10"/>
      <c r="H15" s="10"/>
      <c r="I15" s="10"/>
      <c r="J15" s="11" t="s">
        <v>11</v>
      </c>
      <c r="K15" s="18"/>
    </row>
    <row r="16" customFormat="false" ht="12.8" hidden="false" customHeight="false" outlineLevel="0" collapsed="false">
      <c r="A16" s="4" t="n">
        <v>14</v>
      </c>
      <c r="B16" s="12" t="n">
        <v>12</v>
      </c>
      <c r="C16" s="14" t="n">
        <v>11</v>
      </c>
      <c r="D16" s="16" t="s">
        <v>39</v>
      </c>
      <c r="E16" s="16" t="s">
        <v>40</v>
      </c>
      <c r="F16" s="16" t="s">
        <v>41</v>
      </c>
      <c r="G16" s="16" t="s">
        <v>42</v>
      </c>
      <c r="H16" s="16" t="s">
        <v>25</v>
      </c>
      <c r="I16" s="16" t="s">
        <v>43</v>
      </c>
      <c r="J16" s="11" t="s">
        <v>44</v>
      </c>
    </row>
    <row r="17" customFormat="false" ht="12.8" hidden="false" customHeight="false" outlineLevel="0" collapsed="false">
      <c r="A17" s="4" t="n">
        <v>15</v>
      </c>
      <c r="B17" s="12" t="n">
        <v>13</v>
      </c>
      <c r="C17" s="14" t="n">
        <v>12</v>
      </c>
      <c r="D17" s="16" t="s">
        <v>45</v>
      </c>
      <c r="E17" s="16" t="s">
        <v>46</v>
      </c>
      <c r="F17" s="16" t="s">
        <v>47</v>
      </c>
      <c r="G17" s="16" t="s">
        <v>48</v>
      </c>
      <c r="H17" s="16" t="s">
        <v>49</v>
      </c>
      <c r="I17" s="16" t="s">
        <v>50</v>
      </c>
      <c r="J17" s="11" t="s">
        <v>44</v>
      </c>
    </row>
    <row r="18" customFormat="false" ht="12.8" hidden="false" customHeight="false" outlineLevel="0" collapsed="false">
      <c r="A18" s="4" t="n">
        <v>16</v>
      </c>
      <c r="B18" s="12" t="n">
        <v>14</v>
      </c>
      <c r="C18" s="14" t="n">
        <v>13</v>
      </c>
      <c r="D18" s="16" t="s">
        <v>51</v>
      </c>
      <c r="E18" s="16" t="s">
        <v>52</v>
      </c>
      <c r="F18" s="16" t="s">
        <v>53</v>
      </c>
      <c r="G18" s="16" t="s">
        <v>54</v>
      </c>
      <c r="H18" s="16" t="s">
        <v>55</v>
      </c>
      <c r="I18" s="16" t="s">
        <v>56</v>
      </c>
      <c r="J18" s="11" t="s">
        <v>44</v>
      </c>
    </row>
    <row r="19" customFormat="false" ht="12.8" hidden="false" customHeight="false" outlineLevel="0" collapsed="false">
      <c r="A19" s="4" t="n">
        <v>17</v>
      </c>
      <c r="B19" s="12" t="n">
        <v>15</v>
      </c>
      <c r="C19" s="14" t="n">
        <v>14</v>
      </c>
      <c r="D19" s="16" t="s">
        <v>57</v>
      </c>
      <c r="E19" s="16" t="s">
        <v>58</v>
      </c>
      <c r="F19" s="16" t="s">
        <v>59</v>
      </c>
      <c r="G19" s="16" t="s">
        <v>60</v>
      </c>
      <c r="H19" s="16" t="s">
        <v>61</v>
      </c>
      <c r="I19" s="16" t="s">
        <v>62</v>
      </c>
      <c r="J19" s="11" t="s">
        <v>44</v>
      </c>
    </row>
    <row r="20" customFormat="false" ht="12.8" hidden="false" customHeight="false" outlineLevel="0" collapsed="false">
      <c r="A20" s="4" t="n">
        <v>18</v>
      </c>
      <c r="B20" s="12" t="n">
        <v>16</v>
      </c>
      <c r="C20" s="14" t="n">
        <v>16</v>
      </c>
      <c r="D20" s="16" t="s">
        <v>63</v>
      </c>
      <c r="E20" s="16" t="s">
        <v>64</v>
      </c>
      <c r="F20" s="16" t="s">
        <v>65</v>
      </c>
      <c r="G20" s="16" t="s">
        <v>42</v>
      </c>
      <c r="H20" s="16" t="s">
        <v>25</v>
      </c>
      <c r="I20" s="16" t="s">
        <v>66</v>
      </c>
      <c r="J20" s="11" t="s">
        <v>44</v>
      </c>
    </row>
    <row r="21" customFormat="false" ht="12.8" hidden="false" customHeight="false" outlineLevel="0" collapsed="false">
      <c r="A21" s="4" t="n">
        <v>19</v>
      </c>
      <c r="B21" s="12" t="n">
        <v>17</v>
      </c>
      <c r="C21" s="14" t="n">
        <v>17</v>
      </c>
      <c r="D21" s="16" t="s">
        <v>67</v>
      </c>
      <c r="E21" s="16" t="s">
        <v>68</v>
      </c>
      <c r="F21" s="16" t="s">
        <v>69</v>
      </c>
      <c r="G21" s="16" t="s">
        <v>48</v>
      </c>
      <c r="H21" s="16" t="s">
        <v>49</v>
      </c>
      <c r="I21" s="16" t="s">
        <v>70</v>
      </c>
      <c r="J21" s="11" t="s">
        <v>44</v>
      </c>
    </row>
    <row r="22" customFormat="false" ht="12.8" hidden="false" customHeight="false" outlineLevel="0" collapsed="false">
      <c r="A22" s="4" t="n">
        <v>20</v>
      </c>
      <c r="B22" s="12" t="n">
        <v>18</v>
      </c>
      <c r="C22" s="14" t="n">
        <v>18</v>
      </c>
      <c r="D22" s="16" t="s">
        <v>71</v>
      </c>
      <c r="E22" s="16" t="s">
        <v>72</v>
      </c>
      <c r="F22" s="16" t="s">
        <v>73</v>
      </c>
      <c r="G22" s="16" t="s">
        <v>54</v>
      </c>
      <c r="H22" s="16" t="s">
        <v>55</v>
      </c>
      <c r="I22" s="16" t="s">
        <v>74</v>
      </c>
      <c r="J22" s="11" t="s">
        <v>44</v>
      </c>
    </row>
    <row r="23" customFormat="false" ht="12.8" hidden="false" customHeight="false" outlineLevel="0" collapsed="false">
      <c r="A23" s="4" t="n">
        <v>21</v>
      </c>
      <c r="B23" s="12" t="n">
        <v>19</v>
      </c>
      <c r="C23" s="14" t="n">
        <v>19</v>
      </c>
      <c r="D23" s="16" t="s">
        <v>75</v>
      </c>
      <c r="E23" s="16" t="s">
        <v>76</v>
      </c>
      <c r="F23" s="16" t="s">
        <v>77</v>
      </c>
      <c r="G23" s="16" t="s">
        <v>60</v>
      </c>
      <c r="H23" s="16" t="s">
        <v>61</v>
      </c>
      <c r="I23" s="16" t="s">
        <v>78</v>
      </c>
      <c r="J23" s="11" t="s">
        <v>44</v>
      </c>
    </row>
    <row r="24" customFormat="false" ht="12.8" hidden="false" customHeight="false" outlineLevel="0" collapsed="false">
      <c r="A24" s="4" t="n">
        <v>22</v>
      </c>
      <c r="B24" s="12" t="n">
        <v>20</v>
      </c>
      <c r="C24" s="14" t="n">
        <v>21</v>
      </c>
      <c r="D24" s="19" t="s">
        <v>79</v>
      </c>
      <c r="E24" s="19" t="s">
        <v>80</v>
      </c>
      <c r="F24" s="19" t="s">
        <v>65</v>
      </c>
      <c r="G24" s="19" t="s">
        <v>24</v>
      </c>
      <c r="H24" s="19" t="s">
        <v>25</v>
      </c>
      <c r="I24" s="19" t="s">
        <v>81</v>
      </c>
      <c r="J24" s="11" t="s">
        <v>82</v>
      </c>
    </row>
    <row r="25" customFormat="false" ht="12.8" hidden="false" customHeight="false" outlineLevel="0" collapsed="false">
      <c r="A25" s="4" t="n">
        <v>23</v>
      </c>
      <c r="B25" s="12" t="n">
        <v>20</v>
      </c>
      <c r="C25" s="14" t="n">
        <v>21</v>
      </c>
      <c r="D25" s="19" t="s">
        <v>83</v>
      </c>
      <c r="E25" s="19" t="s">
        <v>84</v>
      </c>
      <c r="F25" s="19" t="s">
        <v>69</v>
      </c>
      <c r="G25" s="19" t="s">
        <v>85</v>
      </c>
      <c r="H25" s="19" t="s">
        <v>49</v>
      </c>
      <c r="I25" s="19" t="s">
        <v>86</v>
      </c>
      <c r="J25" s="11" t="s">
        <v>82</v>
      </c>
    </row>
    <row r="26" customFormat="false" ht="12.8" hidden="false" customHeight="false" outlineLevel="0" collapsed="false">
      <c r="A26" s="4" t="n">
        <v>24</v>
      </c>
      <c r="B26" s="12" t="s">
        <v>87</v>
      </c>
      <c r="C26" s="14" t="s">
        <v>87</v>
      </c>
      <c r="D26" s="20" t="s">
        <v>88</v>
      </c>
      <c r="E26" s="20" t="s">
        <v>89</v>
      </c>
      <c r="F26" s="21" t="s">
        <v>90</v>
      </c>
      <c r="G26" s="22"/>
      <c r="H26" s="22"/>
      <c r="I26" s="22"/>
      <c r="J26" s="11" t="s">
        <v>91</v>
      </c>
    </row>
    <row r="27" customFormat="false" ht="12.8" hidden="false" customHeight="false" outlineLevel="0" collapsed="false">
      <c r="A27" s="4" t="n">
        <v>25</v>
      </c>
      <c r="B27" s="5" t="s">
        <v>7</v>
      </c>
      <c r="C27" s="6" t="s">
        <v>7</v>
      </c>
      <c r="D27" s="23" t="s">
        <v>92</v>
      </c>
      <c r="E27" s="23" t="s">
        <v>93</v>
      </c>
      <c r="F27" s="9" t="s">
        <v>10</v>
      </c>
      <c r="G27" s="10"/>
      <c r="H27" s="10"/>
      <c r="I27" s="10"/>
      <c r="J27" s="11" t="s">
        <v>94</v>
      </c>
    </row>
    <row r="28" customFormat="false" ht="12.8" hidden="false" customHeight="false" outlineLevel="0" collapsed="false">
      <c r="A28" s="4" t="n">
        <v>26</v>
      </c>
      <c r="B28" s="5" t="s">
        <v>7</v>
      </c>
      <c r="C28" s="6" t="s">
        <v>7</v>
      </c>
      <c r="D28" s="23" t="s">
        <v>95</v>
      </c>
      <c r="E28" s="23" t="s">
        <v>93</v>
      </c>
      <c r="F28" s="9" t="s">
        <v>10</v>
      </c>
      <c r="G28" s="10"/>
      <c r="H28" s="10"/>
      <c r="I28" s="10"/>
      <c r="J28" s="11" t="s">
        <v>94</v>
      </c>
    </row>
    <row r="29" customFormat="false" ht="12.8" hidden="false" customHeight="false" outlineLevel="0" collapsed="false">
      <c r="A29" s="4" t="n">
        <v>27</v>
      </c>
      <c r="B29" s="5" t="s">
        <v>7</v>
      </c>
      <c r="C29" s="6" t="s">
        <v>7</v>
      </c>
      <c r="D29" s="23" t="s">
        <v>96</v>
      </c>
      <c r="E29" s="23" t="s">
        <v>93</v>
      </c>
      <c r="F29" s="9" t="s">
        <v>10</v>
      </c>
      <c r="G29" s="10"/>
      <c r="H29" s="10"/>
      <c r="I29" s="10"/>
      <c r="J29" s="11" t="s">
        <v>94</v>
      </c>
    </row>
    <row r="30" customFormat="false" ht="12.8" hidden="false" customHeight="false" outlineLevel="0" collapsed="false">
      <c r="A30" s="4" t="n">
        <v>28</v>
      </c>
      <c r="B30" s="5" t="s">
        <v>7</v>
      </c>
      <c r="C30" s="6" t="s">
        <v>7</v>
      </c>
      <c r="D30" s="23" t="s">
        <v>97</v>
      </c>
      <c r="E30" s="23" t="s">
        <v>93</v>
      </c>
      <c r="F30" s="9" t="s">
        <v>10</v>
      </c>
      <c r="G30" s="10"/>
      <c r="H30" s="10"/>
      <c r="I30" s="10"/>
      <c r="J30" s="11" t="s">
        <v>94</v>
      </c>
    </row>
    <row r="31" customFormat="false" ht="12.8" hidden="false" customHeight="false" outlineLevel="0" collapsed="false">
      <c r="A31" s="4" t="n">
        <v>29</v>
      </c>
      <c r="B31" s="5" t="s">
        <v>7</v>
      </c>
      <c r="C31" s="6" t="s">
        <v>7</v>
      </c>
      <c r="D31" s="7" t="s">
        <v>98</v>
      </c>
      <c r="E31" s="7" t="s">
        <v>9</v>
      </c>
      <c r="F31" s="9" t="s">
        <v>10</v>
      </c>
      <c r="G31" s="10"/>
      <c r="H31" s="10"/>
      <c r="I31" s="10"/>
      <c r="J31" s="11" t="s">
        <v>11</v>
      </c>
    </row>
    <row r="32" customFormat="false" ht="12.8" hidden="false" customHeight="false" outlineLevel="0" collapsed="false">
      <c r="A32" s="4" t="n">
        <v>30</v>
      </c>
      <c r="B32" s="5" t="s">
        <v>7</v>
      </c>
      <c r="C32" s="6" t="s">
        <v>7</v>
      </c>
      <c r="D32" s="7" t="s">
        <v>99</v>
      </c>
      <c r="E32" s="7" t="s">
        <v>9</v>
      </c>
      <c r="F32" s="9" t="s">
        <v>10</v>
      </c>
      <c r="G32" s="10"/>
      <c r="H32" s="10"/>
      <c r="I32" s="10"/>
      <c r="J32" s="11" t="s">
        <v>11</v>
      </c>
    </row>
    <row r="33" customFormat="false" ht="12.8" hidden="false" customHeight="false" outlineLevel="0" collapsed="false">
      <c r="A33" s="4" t="n">
        <v>31</v>
      </c>
      <c r="B33" s="5" t="s">
        <v>7</v>
      </c>
      <c r="C33" s="6" t="s">
        <v>7</v>
      </c>
      <c r="D33" s="7" t="s">
        <v>8</v>
      </c>
      <c r="E33" s="7" t="s">
        <v>9</v>
      </c>
      <c r="F33" s="9" t="s">
        <v>10</v>
      </c>
      <c r="G33" s="10"/>
      <c r="H33" s="10"/>
      <c r="I33" s="10"/>
      <c r="J33" s="11" t="s">
        <v>11</v>
      </c>
    </row>
    <row r="34" customFormat="false" ht="12.8" hidden="false" customHeight="false" outlineLevel="0" collapsed="false"/>
    <row r="35" customFormat="false" ht="12.8" hidden="false" customHeight="false" outlineLevel="0" collapsed="false"/>
    <row r="36" customFormat="false" ht="12.8" hidden="false" customHeight="false" outlineLevel="0" collapsed="false"/>
    <row r="37" customFormat="false" ht="12.8" hidden="false" customHeight="false" outlineLevel="0" collapsed="false"/>
    <row r="38" customFormat="false" ht="12.8" hidden="false" customHeight="false" outlineLevel="0" collapsed="false"/>
    <row r="39" customFormat="false" ht="12.8" hidden="false" customHeight="false" outlineLevel="0" collapsed="false"/>
    <row r="40" customFormat="false" ht="12.8" hidden="false" customHeight="false" outlineLevel="0" collapsed="false"/>
    <row r="41" customFormat="false" ht="12.8" hidden="false" customHeight="false" outlineLevel="0" collapsed="false"/>
    <row r="42" customFormat="false" ht="12.8" hidden="false" customHeight="false" outlineLevel="0" collapsed="false"/>
    <row r="43" customFormat="false" ht="12.8" hidden="false" customHeight="false" outlineLevel="0" collapsed="false"/>
    <row r="44" customFormat="false" ht="12.8" hidden="false" customHeight="false" outlineLevel="0" collapsed="false"/>
    <row r="45" customFormat="false" ht="12.8" hidden="false" customHeight="false" outlineLevel="0" collapsed="false"/>
    <row r="46" customFormat="false" ht="12.8" hidden="false" customHeight="false" outlineLevel="0" collapsed="false"/>
    <row r="47" customFormat="false" ht="12.8" hidden="false" customHeight="false" outlineLevel="0" collapsed="false"/>
    <row r="48" customFormat="false" ht="12.8" hidden="false" customHeight="false" outlineLevel="0" collapsed="false"/>
    <row r="49" customFormat="false" ht="12.8" hidden="false" customHeight="false" outlineLevel="0" collapsed="false"/>
    <row r="50" customFormat="false" ht="12.8" hidden="false" customHeight="false" outlineLevel="0" collapsed="false"/>
  </sheetData>
  <mergeCells count="1">
    <mergeCell ref="F1:I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277D"/>
    <pageSetUpPr fitToPage="false"/>
  </sheetPr>
  <dimension ref="A2:B16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D8" activeCellId="0" sqref="D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4" width="32.49"/>
    <col collapsed="false" customWidth="true" hidden="false" outlineLevel="0" max="2" min="2" style="24" width="21.08"/>
    <col collapsed="false" customWidth="true" hidden="false" outlineLevel="0" max="3" min="3" style="24" width="18.79"/>
    <col collapsed="false" customWidth="true" hidden="false" outlineLevel="0" max="4" min="4" style="24" width="30.07"/>
    <col collapsed="false" customWidth="true" hidden="false" outlineLevel="0" max="5" min="5" style="24" width="13.71"/>
    <col collapsed="false" customWidth="true" hidden="false" outlineLevel="0" max="6" min="6" style="24" width="21.66"/>
    <col collapsed="false" customWidth="false" hidden="false" outlineLevel="0" max="9" min="7" style="24" width="11.53"/>
    <col collapsed="false" customWidth="true" hidden="false" outlineLevel="0" max="10" min="10" style="24" width="24.93"/>
    <col collapsed="false" customWidth="false" hidden="false" outlineLevel="0" max="16384" min="11" style="25" width="11.53"/>
  </cols>
  <sheetData>
    <row r="2" customFormat="false" ht="12.8" hidden="false" customHeight="true" outlineLevel="0" collapsed="false">
      <c r="A2" s="24" t="s">
        <v>100</v>
      </c>
      <c r="B2" s="24" t="n">
        <v>0.08</v>
      </c>
    </row>
    <row r="3" customFormat="false" ht="12.8" hidden="false" customHeight="true" outlineLevel="0" collapsed="false">
      <c r="A3" s="24" t="s">
        <v>101</v>
      </c>
      <c r="B3" s="24" t="n">
        <v>0.125</v>
      </c>
    </row>
    <row r="4" customFormat="false" ht="12.8" hidden="false" customHeight="true" outlineLevel="0" collapsed="false">
      <c r="A4" s="24" t="s">
        <v>102</v>
      </c>
      <c r="B4" s="24" t="n">
        <v>0.11</v>
      </c>
    </row>
    <row r="5" customFormat="false" ht="12.8" hidden="false" customHeight="true" outlineLevel="0" collapsed="false">
      <c r="A5" s="24" t="s">
        <v>103</v>
      </c>
      <c r="B5" s="24" t="n">
        <v>0.145</v>
      </c>
    </row>
    <row r="11" customFormat="false" ht="12.8" hidden="false" customHeight="true" outlineLevel="0" collapsed="false">
      <c r="A11" s="24" t="s">
        <v>104</v>
      </c>
      <c r="B11" s="24" t="n">
        <v>90</v>
      </c>
    </row>
    <row r="13" customFormat="false" ht="12.8" hidden="false" customHeight="true" outlineLevel="0" collapsed="false">
      <c r="A13" s="24" t="s">
        <v>105</v>
      </c>
      <c r="B13" s="24" t="n">
        <v>1</v>
      </c>
    </row>
    <row r="14" customFormat="false" ht="12.8" hidden="false" customHeight="true" outlineLevel="0" collapsed="false">
      <c r="A14" s="24" t="s">
        <v>106</v>
      </c>
      <c r="B14" s="24" t="n">
        <v>2.4</v>
      </c>
    </row>
    <row r="16" customFormat="false" ht="12.8" hidden="false" customHeight="true" outlineLevel="0" collapsed="false">
      <c r="A16" s="2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9FD78"/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37" activeCellId="0" sqref="C3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7" width="19.17"/>
    <col collapsed="false" customWidth="true" hidden="false" outlineLevel="0" max="3" min="2" style="27" width="18.79"/>
    <col collapsed="false" customWidth="true" hidden="false" outlineLevel="0" max="4" min="4" style="27" width="30.07"/>
    <col collapsed="false" customWidth="true" hidden="false" outlineLevel="0" max="5" min="5" style="27" width="13.71"/>
    <col collapsed="false" customWidth="true" hidden="false" outlineLevel="0" max="6" min="6" style="27" width="21.66"/>
    <col collapsed="false" customWidth="false" hidden="false" outlineLevel="0" max="9" min="7" style="27" width="11.53"/>
    <col collapsed="false" customWidth="true" hidden="false" outlineLevel="0" max="10" min="10" style="27" width="24.93"/>
    <col collapsed="false" customWidth="false" hidden="false" outlineLevel="0" max="16384" min="11" style="27" width="11.53"/>
  </cols>
  <sheetData>
    <row r="1" customFormat="false" ht="12.8" hidden="false" customHeight="true" outlineLevel="0" collapsed="false">
      <c r="A1" s="28" t="s">
        <v>107</v>
      </c>
      <c r="B1" s="28" t="s">
        <v>108</v>
      </c>
      <c r="C1" s="28" t="s">
        <v>109</v>
      </c>
      <c r="D1" s="28" t="s">
        <v>110</v>
      </c>
      <c r="E1" s="28" t="s">
        <v>111</v>
      </c>
      <c r="F1" s="28" t="s">
        <v>112</v>
      </c>
      <c r="G1" s="28" t="s">
        <v>113</v>
      </c>
      <c r="H1" s="28" t="s">
        <v>114</v>
      </c>
      <c r="I1" s="28" t="s">
        <v>115</v>
      </c>
      <c r="J1" s="28" t="s">
        <v>116</v>
      </c>
    </row>
    <row r="2" customFormat="false" ht="12.8" hidden="false" customHeight="true" outlineLevel="0" collapsed="false">
      <c r="A2" s="27" t="s">
        <v>117</v>
      </c>
      <c r="B2" s="27" t="s">
        <v>118</v>
      </c>
      <c r="C2" s="27" t="s">
        <v>7</v>
      </c>
      <c r="E2" s="27" t="s">
        <v>119</v>
      </c>
      <c r="F2" s="29" t="s">
        <v>120</v>
      </c>
      <c r="H2" s="30" t="s">
        <v>121</v>
      </c>
      <c r="I2" s="31" t="s">
        <v>122</v>
      </c>
      <c r="J2" s="32" t="s">
        <v>123</v>
      </c>
    </row>
    <row r="3" customFormat="false" ht="12.8" hidden="false" customHeight="true" outlineLevel="0" collapsed="false">
      <c r="A3" s="27" t="s">
        <v>124</v>
      </c>
      <c r="B3" s="27" t="s">
        <v>125</v>
      </c>
      <c r="C3" s="27" t="s">
        <v>126</v>
      </c>
      <c r="E3" s="27" t="s">
        <v>127</v>
      </c>
      <c r="F3" s="29" t="s">
        <v>128</v>
      </c>
      <c r="H3" s="30" t="s">
        <v>121</v>
      </c>
      <c r="I3" s="27" t="s">
        <v>93</v>
      </c>
      <c r="J3" s="32" t="s">
        <v>123</v>
      </c>
    </row>
    <row r="4" customFormat="false" ht="12.8" hidden="false" customHeight="true" outlineLevel="0" collapsed="false">
      <c r="A4" s="27" t="s">
        <v>129</v>
      </c>
      <c r="B4" s="27" t="s">
        <v>118</v>
      </c>
      <c r="C4" s="27" t="s">
        <v>130</v>
      </c>
      <c r="E4" s="27" t="s">
        <v>87</v>
      </c>
      <c r="F4" s="29" t="s">
        <v>120</v>
      </c>
      <c r="H4" s="30" t="s">
        <v>121</v>
      </c>
      <c r="I4" s="31" t="s">
        <v>131</v>
      </c>
      <c r="J4" s="32" t="s">
        <v>123</v>
      </c>
    </row>
    <row r="5" customFormat="false" ht="12.8" hidden="false" customHeight="true" outlineLevel="0" collapsed="false">
      <c r="A5" s="27" t="s">
        <v>132</v>
      </c>
      <c r="B5" s="27" t="s">
        <v>133</v>
      </c>
      <c r="C5" s="27" t="s">
        <v>134</v>
      </c>
      <c r="E5" s="27" t="s">
        <v>127</v>
      </c>
      <c r="F5" s="29" t="s">
        <v>120</v>
      </c>
      <c r="H5" s="30" t="s">
        <v>121</v>
      </c>
      <c r="I5" s="27" t="s">
        <v>93</v>
      </c>
      <c r="J5" s="32" t="s">
        <v>123</v>
      </c>
    </row>
    <row r="6" customFormat="false" ht="12.8" hidden="false" customHeight="true" outlineLevel="0" collapsed="false">
      <c r="A6" s="27" t="s">
        <v>135</v>
      </c>
      <c r="B6" s="27" t="s">
        <v>136</v>
      </c>
      <c r="C6" s="27" t="s">
        <v>137</v>
      </c>
      <c r="E6" s="27" t="s">
        <v>119</v>
      </c>
      <c r="F6" s="29" t="s">
        <v>120</v>
      </c>
      <c r="H6" s="30" t="s">
        <v>121</v>
      </c>
      <c r="I6" s="31" t="s">
        <v>122</v>
      </c>
      <c r="J6" s="32" t="s">
        <v>123</v>
      </c>
    </row>
    <row r="7" customFormat="false" ht="12.8" hidden="false" customHeight="true" outlineLevel="0" collapsed="false">
      <c r="A7" s="27" t="s">
        <v>138</v>
      </c>
      <c r="B7" s="27" t="s">
        <v>139</v>
      </c>
      <c r="C7" s="27" t="s">
        <v>140</v>
      </c>
      <c r="D7" s="27" t="s">
        <v>141</v>
      </c>
      <c r="E7" s="27" t="s">
        <v>142</v>
      </c>
      <c r="F7" s="33" t="s">
        <v>99</v>
      </c>
      <c r="H7" s="30" t="s">
        <v>121</v>
      </c>
      <c r="I7" s="27" t="s">
        <v>93</v>
      </c>
      <c r="J7" s="32" t="s">
        <v>123</v>
      </c>
    </row>
    <row r="8" customFormat="false" ht="12.8" hidden="false" customHeight="true" outlineLevel="0" collapsed="false">
      <c r="A8" s="27" t="s">
        <v>143</v>
      </c>
      <c r="B8" s="27" t="s">
        <v>144</v>
      </c>
      <c r="C8" s="27" t="s">
        <v>140</v>
      </c>
      <c r="D8" s="27" t="s">
        <v>145</v>
      </c>
      <c r="E8" s="27" t="s">
        <v>142</v>
      </c>
      <c r="F8" s="29" t="s">
        <v>120</v>
      </c>
      <c r="H8" s="34" t="s">
        <v>146</v>
      </c>
      <c r="I8" s="31" t="s">
        <v>122</v>
      </c>
      <c r="J8" s="30" t="s">
        <v>147</v>
      </c>
    </row>
    <row r="9" customFormat="false" ht="12.8" hidden="false" customHeight="true" outlineLevel="0" collapsed="false">
      <c r="A9" s="27" t="s">
        <v>148</v>
      </c>
      <c r="B9" s="27" t="s">
        <v>149</v>
      </c>
      <c r="C9" s="27" t="s">
        <v>150</v>
      </c>
      <c r="E9" s="27" t="s">
        <v>142</v>
      </c>
      <c r="F9" s="33" t="s">
        <v>151</v>
      </c>
      <c r="H9" s="35" t="s">
        <v>152</v>
      </c>
      <c r="I9" s="31" t="s">
        <v>131</v>
      </c>
      <c r="J9" s="32" t="s">
        <v>123</v>
      </c>
    </row>
    <row r="10" customFormat="false" ht="12.8" hidden="false" customHeight="true" outlineLevel="0" collapsed="false">
      <c r="A10" s="27" t="s">
        <v>153</v>
      </c>
      <c r="B10" s="27" t="s">
        <v>154</v>
      </c>
      <c r="C10" s="27" t="s">
        <v>44</v>
      </c>
      <c r="D10" s="27" t="s">
        <v>155</v>
      </c>
      <c r="E10" s="27" t="s">
        <v>156</v>
      </c>
      <c r="F10" s="29" t="s">
        <v>120</v>
      </c>
      <c r="H10" s="30" t="s">
        <v>121</v>
      </c>
      <c r="I10" s="31" t="s">
        <v>131</v>
      </c>
      <c r="J10" s="32" t="s">
        <v>123</v>
      </c>
    </row>
    <row r="11" customFormat="false" ht="12.8" hidden="false" customHeight="true" outlineLevel="0" collapsed="false">
      <c r="A11" s="27" t="s">
        <v>157</v>
      </c>
      <c r="B11" s="27" t="s">
        <v>158</v>
      </c>
      <c r="C11" s="27" t="s">
        <v>44</v>
      </c>
      <c r="D11" s="27" t="s">
        <v>159</v>
      </c>
      <c r="F11" s="29" t="s">
        <v>120</v>
      </c>
      <c r="H11" s="34" t="s">
        <v>146</v>
      </c>
      <c r="I11" s="31" t="s">
        <v>131</v>
      </c>
      <c r="J11" s="30" t="s">
        <v>147</v>
      </c>
    </row>
    <row r="12" customFormat="false" ht="12.8" hidden="false" customHeight="true" outlineLevel="0" collapsed="false">
      <c r="A12" s="27" t="s">
        <v>160</v>
      </c>
      <c r="B12" s="27" t="s">
        <v>161</v>
      </c>
      <c r="C12" s="27" t="s">
        <v>7</v>
      </c>
      <c r="F12" s="36" t="s">
        <v>162</v>
      </c>
      <c r="G12" s="27" t="s">
        <v>163</v>
      </c>
      <c r="H12" s="30" t="s">
        <v>121</v>
      </c>
      <c r="I12" s="27" t="s">
        <v>9</v>
      </c>
      <c r="J12" s="32" t="s">
        <v>123</v>
      </c>
    </row>
    <row r="13" customFormat="false" ht="12.8" hidden="false" customHeight="true" outlineLevel="0" collapsed="false">
      <c r="A13" s="27" t="s">
        <v>164</v>
      </c>
      <c r="B13" s="27" t="s">
        <v>165</v>
      </c>
      <c r="C13" s="27" t="s">
        <v>7</v>
      </c>
      <c r="F13" s="37" t="s">
        <v>166</v>
      </c>
      <c r="G13" s="27" t="s">
        <v>167</v>
      </c>
      <c r="H13" s="30" t="s">
        <v>121</v>
      </c>
      <c r="I13" s="27" t="s">
        <v>9</v>
      </c>
      <c r="J13" s="32" t="s">
        <v>123</v>
      </c>
    </row>
    <row r="14" customFormat="false" ht="12.8" hidden="false" customHeight="true" outlineLevel="0" collapsed="false">
      <c r="A14" s="27" t="s">
        <v>168</v>
      </c>
      <c r="B14" s="27" t="s">
        <v>169</v>
      </c>
      <c r="C14" s="27" t="s">
        <v>7</v>
      </c>
      <c r="F14" s="38" t="s">
        <v>170</v>
      </c>
      <c r="G14" s="27" t="s">
        <v>171</v>
      </c>
      <c r="H14" s="30" t="s">
        <v>121</v>
      </c>
      <c r="I14" s="27" t="s">
        <v>9</v>
      </c>
      <c r="J14" s="32" t="s">
        <v>123</v>
      </c>
    </row>
    <row r="15" customFormat="false" ht="12.8" hidden="false" customHeight="true" outlineLevel="0" collapsed="false">
      <c r="A15" s="27" t="s">
        <v>172</v>
      </c>
      <c r="B15" s="27" t="s">
        <v>173</v>
      </c>
      <c r="C15" s="27" t="s">
        <v>7</v>
      </c>
      <c r="F15" s="39" t="s">
        <v>174</v>
      </c>
      <c r="G15" s="27" t="s">
        <v>171</v>
      </c>
      <c r="H15" s="30" t="s">
        <v>121</v>
      </c>
      <c r="I15" s="27" t="s">
        <v>9</v>
      </c>
      <c r="J15" s="32" t="s">
        <v>123</v>
      </c>
    </row>
    <row r="16" customFormat="false" ht="12.8" hidden="false" customHeight="true" outlineLevel="0" collapsed="false">
      <c r="A16" s="40" t="s">
        <v>175</v>
      </c>
      <c r="B16" s="27" t="s">
        <v>176</v>
      </c>
      <c r="C16" s="27" t="s">
        <v>177</v>
      </c>
      <c r="D16" s="27" t="s">
        <v>178</v>
      </c>
      <c r="F16" s="29" t="s">
        <v>120</v>
      </c>
      <c r="H16" s="34" t="s">
        <v>146</v>
      </c>
      <c r="I16" s="31" t="s">
        <v>131</v>
      </c>
      <c r="J16" s="30" t="s">
        <v>147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4000"/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25" activeCellId="0" sqref="A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7" width="27.61"/>
    <col collapsed="false" customWidth="true" hidden="false" outlineLevel="0" max="2" min="2" style="27" width="18.79"/>
    <col collapsed="false" customWidth="true" hidden="false" outlineLevel="0" max="3" min="3" style="27" width="18.62"/>
    <col collapsed="false" customWidth="true" hidden="false" outlineLevel="0" max="4" min="4" style="27" width="25.89"/>
    <col collapsed="false" customWidth="true" hidden="false" outlineLevel="0" max="5" min="5" style="27" width="18.62"/>
    <col collapsed="false" customWidth="true" hidden="false" outlineLevel="0" max="6" min="6" style="27" width="21.66"/>
    <col collapsed="false" customWidth="false" hidden="false" outlineLevel="0" max="7" min="7" style="27" width="11.53"/>
    <col collapsed="false" customWidth="true" hidden="false" outlineLevel="0" max="8" min="8" style="27" width="13.16"/>
    <col collapsed="false" customWidth="false" hidden="false" outlineLevel="0" max="9" min="9" style="27" width="11.53"/>
    <col collapsed="false" customWidth="true" hidden="false" outlineLevel="0" max="10" min="10" style="41" width="18.62"/>
  </cols>
  <sheetData>
    <row r="1" customFormat="false" ht="12.8" hidden="false" customHeight="true" outlineLevel="0" collapsed="false">
      <c r="A1" s="28" t="s">
        <v>107</v>
      </c>
      <c r="B1" s="28" t="s">
        <v>108</v>
      </c>
      <c r="C1" s="28" t="s">
        <v>179</v>
      </c>
      <c r="D1" s="28" t="s">
        <v>180</v>
      </c>
      <c r="E1" s="28" t="s">
        <v>181</v>
      </c>
      <c r="F1" s="28" t="s">
        <v>182</v>
      </c>
      <c r="H1" s="27" t="s">
        <v>183</v>
      </c>
      <c r="I1" s="27" t="s">
        <v>184</v>
      </c>
    </row>
    <row r="2" customFormat="false" ht="12.8" hidden="false" customHeight="true" outlineLevel="0" collapsed="false">
      <c r="A2" s="27" t="s">
        <v>117</v>
      </c>
      <c r="B2" s="27" t="s">
        <v>185</v>
      </c>
      <c r="C2" s="27" t="n">
        <v>1.1</v>
      </c>
      <c r="D2" s="27" t="n">
        <v>1</v>
      </c>
      <c r="E2" s="27" t="n">
        <f aca="false">C2*D2</f>
        <v>1.1</v>
      </c>
      <c r="F2" s="27" t="n">
        <f aca="false">E2*5</f>
        <v>5.5</v>
      </c>
      <c r="H2" s="27" t="n">
        <v>425</v>
      </c>
      <c r="I2" s="27" t="n">
        <f aca="false">H2-H5-H8</f>
        <v>55</v>
      </c>
    </row>
    <row r="3" customFormat="false" ht="12.8" hidden="false" customHeight="true" outlineLevel="0" collapsed="false">
      <c r="A3" s="27" t="s">
        <v>124</v>
      </c>
      <c r="B3" s="27" t="s">
        <v>125</v>
      </c>
      <c r="C3" s="27" t="n">
        <v>5.54</v>
      </c>
      <c r="D3" s="27" t="n">
        <v>1</v>
      </c>
      <c r="E3" s="27" t="n">
        <f aca="false">C3*D3</f>
        <v>5.54</v>
      </c>
      <c r="F3" s="27" t="n">
        <f aca="false">E3*5</f>
        <v>27.7</v>
      </c>
    </row>
    <row r="4" customFormat="false" ht="12.8" hidden="false" customHeight="true" outlineLevel="0" collapsed="false">
      <c r="A4" s="27" t="s">
        <v>129</v>
      </c>
      <c r="B4" s="27" t="s">
        <v>118</v>
      </c>
      <c r="C4" s="27" t="n">
        <v>3.5</v>
      </c>
      <c r="D4" s="27" t="n">
        <v>1</v>
      </c>
      <c r="E4" s="27" t="n">
        <f aca="false">C4*D4</f>
        <v>3.5</v>
      </c>
      <c r="F4" s="27" t="n">
        <f aca="false">E4*5</f>
        <v>17.5</v>
      </c>
      <c r="H4" s="27" t="s">
        <v>186</v>
      </c>
    </row>
    <row r="5" customFormat="false" ht="12.8" hidden="false" customHeight="true" outlineLevel="0" collapsed="false">
      <c r="A5" s="27" t="s">
        <v>138</v>
      </c>
      <c r="B5" s="27" t="s">
        <v>139</v>
      </c>
      <c r="C5" s="27" t="n">
        <v>2.5</v>
      </c>
      <c r="D5" s="27" t="n">
        <v>1</v>
      </c>
      <c r="E5" s="27" t="n">
        <f aca="false">C5*D5</f>
        <v>2.5</v>
      </c>
      <c r="F5" s="27" t="n">
        <f aca="false">E5*5</f>
        <v>12.5</v>
      </c>
      <c r="H5" s="27" t="n">
        <v>220</v>
      </c>
    </row>
    <row r="6" customFormat="false" ht="12.8" hidden="false" customHeight="true" outlineLevel="0" collapsed="false">
      <c r="A6" s="27" t="s">
        <v>148</v>
      </c>
      <c r="B6" s="27" t="s">
        <v>149</v>
      </c>
      <c r="C6" s="27" t="n">
        <v>3</v>
      </c>
      <c r="D6" s="27" t="n">
        <v>1</v>
      </c>
      <c r="E6" s="27" t="n">
        <f aca="false">C6*D6</f>
        <v>3</v>
      </c>
      <c r="F6" s="27" t="n">
        <f aca="false">E6*5</f>
        <v>15</v>
      </c>
    </row>
    <row r="7" customFormat="false" ht="12.8" hidden="false" customHeight="true" outlineLevel="0" collapsed="false">
      <c r="A7" s="27" t="s">
        <v>153</v>
      </c>
      <c r="B7" s="27" t="s">
        <v>154</v>
      </c>
      <c r="C7" s="27" t="n">
        <v>1</v>
      </c>
      <c r="D7" s="27" t="n">
        <v>1</v>
      </c>
      <c r="E7" s="27" t="n">
        <f aca="false">C7*D7</f>
        <v>1</v>
      </c>
      <c r="F7" s="27" t="n">
        <f aca="false">E7*5</f>
        <v>5</v>
      </c>
      <c r="H7" s="27" t="s">
        <v>187</v>
      </c>
    </row>
    <row r="8" customFormat="false" ht="12.8" hidden="false" customHeight="true" outlineLevel="0" collapsed="false">
      <c r="A8" s="27" t="s">
        <v>157</v>
      </c>
      <c r="B8" s="27" t="s">
        <v>158</v>
      </c>
      <c r="C8" s="27" t="n">
        <v>2</v>
      </c>
      <c r="D8" s="27" t="n">
        <v>1</v>
      </c>
      <c r="E8" s="27" t="n">
        <f aca="false">C8*D8</f>
        <v>2</v>
      </c>
      <c r="F8" s="27" t="n">
        <f aca="false">E8*5</f>
        <v>10</v>
      </c>
      <c r="H8" s="27" t="n">
        <v>150</v>
      </c>
    </row>
    <row r="9" customFormat="false" ht="12.8" hidden="false" customHeight="true" outlineLevel="0" collapsed="false">
      <c r="A9" s="27" t="s">
        <v>160</v>
      </c>
      <c r="B9" s="27" t="s">
        <v>161</v>
      </c>
      <c r="C9" s="27" t="n">
        <v>2.7</v>
      </c>
      <c r="D9" s="27" t="n">
        <v>1</v>
      </c>
      <c r="E9" s="27" t="n">
        <f aca="false">C9*D9</f>
        <v>2.7</v>
      </c>
      <c r="F9" s="27" t="n">
        <f aca="false">E9*5</f>
        <v>13.5</v>
      </c>
    </row>
    <row r="10" customFormat="false" ht="12.8" hidden="false" customHeight="true" outlineLevel="0" collapsed="false">
      <c r="A10" s="27" t="s">
        <v>164</v>
      </c>
      <c r="B10" s="27" t="s">
        <v>165</v>
      </c>
      <c r="C10" s="27" t="n">
        <v>1</v>
      </c>
      <c r="D10" s="27" t="n">
        <v>1</v>
      </c>
      <c r="E10" s="27" t="n">
        <f aca="false">C10*D10</f>
        <v>1</v>
      </c>
      <c r="F10" s="27" t="n">
        <f aca="false">E10*5</f>
        <v>5</v>
      </c>
      <c r="H10" s="27" t="s">
        <v>188</v>
      </c>
    </row>
    <row r="11" customFormat="false" ht="12.8" hidden="false" customHeight="true" outlineLevel="0" collapsed="false">
      <c r="A11" s="27" t="s">
        <v>168</v>
      </c>
      <c r="B11" s="27" t="s">
        <v>169</v>
      </c>
      <c r="C11" s="27" t="n">
        <v>2.5</v>
      </c>
      <c r="D11" s="27" t="n">
        <v>1</v>
      </c>
      <c r="E11" s="27" t="n">
        <f aca="false">C11*D11</f>
        <v>2.5</v>
      </c>
      <c r="F11" s="27" t="n">
        <f aca="false">E11*5</f>
        <v>12.5</v>
      </c>
      <c r="H11" s="27" t="n">
        <f aca="false">SUM(F2:F18)</f>
        <v>176.7</v>
      </c>
    </row>
    <row r="12" customFormat="false" ht="12.8" hidden="false" customHeight="true" outlineLevel="0" collapsed="false">
      <c r="A12" s="27" t="s">
        <v>172</v>
      </c>
      <c r="B12" s="27" t="s">
        <v>173</v>
      </c>
      <c r="C12" s="27" t="n">
        <v>2.5</v>
      </c>
      <c r="D12" s="27" t="n">
        <v>1</v>
      </c>
      <c r="E12" s="27" t="n">
        <f aca="false">C12*D12</f>
        <v>2.5</v>
      </c>
      <c r="F12" s="27" t="n">
        <f aca="false">E12*5</f>
        <v>12.5</v>
      </c>
    </row>
    <row r="13" customFormat="false" ht="12.8" hidden="false" customHeight="true" outlineLevel="0" collapsed="false">
      <c r="A13" s="40" t="s">
        <v>175</v>
      </c>
      <c r="B13" s="27" t="s">
        <v>176</v>
      </c>
      <c r="C13" s="27" t="n">
        <v>2</v>
      </c>
      <c r="D13" s="27" t="n">
        <v>1</v>
      </c>
      <c r="E13" s="27" t="n">
        <f aca="false">C13*D13</f>
        <v>2</v>
      </c>
      <c r="F13" s="27" t="n">
        <f aca="false">E13*5</f>
        <v>10</v>
      </c>
    </row>
    <row r="14" customFormat="false" ht="12.8" hidden="false" customHeight="true" outlineLevel="0" collapsed="false">
      <c r="A14" s="40" t="s">
        <v>189</v>
      </c>
      <c r="B14" s="27" t="s">
        <v>190</v>
      </c>
      <c r="C14" s="27" t="n">
        <v>10</v>
      </c>
      <c r="D14" s="27" t="n">
        <v>1</v>
      </c>
      <c r="E14" s="27" t="n">
        <v>6</v>
      </c>
      <c r="F14" s="27" t="n">
        <f aca="false">E14*5</f>
        <v>30</v>
      </c>
    </row>
    <row r="15" customFormat="false" ht="12.8" hidden="false" customHeight="true" outlineLevel="0" collapsed="false">
      <c r="A15" s="41"/>
      <c r="B15" s="41"/>
      <c r="C15" s="41"/>
      <c r="D15" s="41"/>
      <c r="E15" s="41"/>
      <c r="F15" s="41"/>
    </row>
    <row r="16" customFormat="false" ht="12.8" hidden="false" customHeight="true" outlineLevel="0" collapsed="false">
      <c r="A16" s="41"/>
      <c r="B16" s="41"/>
      <c r="C16" s="41"/>
      <c r="D16" s="41"/>
      <c r="E16" s="41"/>
      <c r="F16" s="41"/>
    </row>
    <row r="17" customFormat="false" ht="12.8" hidden="false" customHeight="true" outlineLevel="0" collapsed="false">
      <c r="A17" s="41"/>
      <c r="B17" s="41"/>
      <c r="C17" s="41"/>
      <c r="D17" s="41"/>
      <c r="E17" s="41"/>
      <c r="F17" s="41"/>
    </row>
    <row r="21" customFormat="false" ht="12.8" hidden="false" customHeight="true" outlineLevel="0" collapsed="false">
      <c r="F21" s="41"/>
    </row>
    <row r="24" customFormat="false" ht="12.8" hidden="false" customHeight="true" outlineLevel="0" collapsed="false">
      <c r="A24" s="27" t="s">
        <v>132</v>
      </c>
      <c r="B24" s="27" t="s">
        <v>133</v>
      </c>
      <c r="C24" s="27" t="n">
        <v>5</v>
      </c>
      <c r="D24" s="27" t="n">
        <v>1</v>
      </c>
      <c r="E24" s="27" t="n">
        <f aca="false">C24*D24</f>
        <v>5</v>
      </c>
      <c r="F24" s="27" t="n">
        <f aca="false">E24*5</f>
        <v>25</v>
      </c>
    </row>
    <row r="25" customFormat="false" ht="12.8" hidden="false" customHeight="true" outlineLevel="0" collapsed="false">
      <c r="A25" s="27" t="s">
        <v>135</v>
      </c>
      <c r="B25" s="27" t="s">
        <v>136</v>
      </c>
      <c r="C25" s="27" t="n">
        <v>1.6</v>
      </c>
      <c r="D25" s="27" t="n">
        <v>1</v>
      </c>
      <c r="E25" s="27" t="n">
        <f aca="false">C25*D25</f>
        <v>1.6</v>
      </c>
      <c r="F25" s="27" t="n">
        <f aca="false">E25*5</f>
        <v>8</v>
      </c>
    </row>
    <row r="26" customFormat="false" ht="12.8" hidden="false" customHeight="true" outlineLevel="0" collapsed="false">
      <c r="A26" s="27" t="s">
        <v>143</v>
      </c>
      <c r="B26" s="27" t="s">
        <v>144</v>
      </c>
      <c r="C26" s="27" t="n">
        <v>2</v>
      </c>
      <c r="D26" s="27" t="n">
        <v>1</v>
      </c>
      <c r="E26" s="27" t="n">
        <f aca="false">C26*D26</f>
        <v>2</v>
      </c>
      <c r="F26" s="27" t="n">
        <f aca="false">E26*5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4731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2025-10-29T14:34:07Z</dcterms:created>
  <dc:creator/>
  <dc:description/>
  <dc:language>en-US</dc:language>
  <cp:lastModifiedBy/>
  <cp:lastPrinted>2025-11-05T20:17:22Z</cp:lastPrinted>
  <dcterms:modified xsi:type="dcterms:W3CDTF">2026-02-19T14:00:10Z</dcterms:modified>
  <cp:revision>709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